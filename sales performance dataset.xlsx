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Fujitsu\Desktop\rinsha v\"/>
    </mc:Choice>
  </mc:AlternateContent>
  <xr:revisionPtr revIDLastSave="0" documentId="13_ncr:1_{3C306CE5-62B4-4ABF-9E0B-5353AC14FF57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ales_Data" sheetId="1" r:id="rId1"/>
    <sheet name="Sheet1" sheetId="4" r:id="rId2"/>
    <sheet name="Sheet2" sheetId="5" r:id="rId3"/>
    <sheet name="Product_Master" sheetId="2" r:id="rId4"/>
    <sheet name="Messy_Dat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  <c r="Q7" i="1"/>
  <c r="Q6" i="1"/>
  <c r="Q5" i="1"/>
  <c r="E19" i="1"/>
  <c r="E20" i="1"/>
  <c r="E21" i="1"/>
  <c r="E22" i="1"/>
  <c r="E23" i="1"/>
  <c r="E24" i="1"/>
  <c r="E25" i="1"/>
  <c r="E18" i="1"/>
  <c r="Q3" i="1"/>
  <c r="H25" i="1"/>
  <c r="H24" i="1"/>
  <c r="H23" i="1"/>
  <c r="K20" i="1"/>
  <c r="K19" i="1"/>
  <c r="K18" i="1"/>
  <c r="Q2" i="1" s="1"/>
  <c r="Q1" i="1"/>
  <c r="H20" i="1"/>
  <c r="N7" i="1"/>
  <c r="N13" i="1"/>
  <c r="N12" i="1"/>
  <c r="N11" i="1"/>
  <c r="N10" i="1"/>
  <c r="N9" i="1"/>
  <c r="N8" i="1"/>
  <c r="N6" i="1"/>
  <c r="N5" i="1"/>
  <c r="N2" i="1"/>
  <c r="N4" i="1"/>
  <c r="N3" i="1"/>
  <c r="N1" i="1"/>
  <c r="Q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<sst xmlns="http://schemas.openxmlformats.org/spreadsheetml/2006/main" count="210" uniqueCount="128">
  <si>
    <t>Order_ID</t>
  </si>
  <si>
    <t>Order_Date</t>
  </si>
  <si>
    <t>Customer</t>
  </si>
  <si>
    <t>District</t>
  </si>
  <si>
    <t>Region</t>
  </si>
  <si>
    <t>Product</t>
  </si>
  <si>
    <t>Size</t>
  </si>
  <si>
    <t>Quantity</t>
  </si>
  <si>
    <t>Price</t>
  </si>
  <si>
    <t>Payment_Mode</t>
  </si>
  <si>
    <t>Amount</t>
  </si>
  <si>
    <t>O1001</t>
  </si>
  <si>
    <t>Anu</t>
  </si>
  <si>
    <t>Malappuram</t>
  </si>
  <si>
    <t>North</t>
  </si>
  <si>
    <t>Rice</t>
  </si>
  <si>
    <t>1kg</t>
  </si>
  <si>
    <t>UPI</t>
  </si>
  <si>
    <t>O1002</t>
  </si>
  <si>
    <t>Rahul</t>
  </si>
  <si>
    <t>Kozhikode</t>
  </si>
  <si>
    <t>Sugar</t>
  </si>
  <si>
    <t>Cash</t>
  </si>
  <si>
    <t>O1003</t>
  </si>
  <si>
    <t>Fathima</t>
  </si>
  <si>
    <t>Ernakulam</t>
  </si>
  <si>
    <t>Central</t>
  </si>
  <si>
    <t>5kg</t>
  </si>
  <si>
    <t>Card</t>
  </si>
  <si>
    <t>O1004</t>
  </si>
  <si>
    <t>Arun</t>
  </si>
  <si>
    <t>Thrissur</t>
  </si>
  <si>
    <t>Oil</t>
  </si>
  <si>
    <t>1L</t>
  </si>
  <si>
    <t>O1005</t>
  </si>
  <si>
    <t>Neha</t>
  </si>
  <si>
    <t>Kollam</t>
  </si>
  <si>
    <t>South</t>
  </si>
  <si>
    <t>O1006</t>
  </si>
  <si>
    <t>Amal</t>
  </si>
  <si>
    <t>Thiruvananthapuram</t>
  </si>
  <si>
    <t>O1007</t>
  </si>
  <si>
    <t>Sanu</t>
  </si>
  <si>
    <t>Kannur</t>
  </si>
  <si>
    <t>O1008</t>
  </si>
  <si>
    <t>Meera</t>
  </si>
  <si>
    <t>O1009</t>
  </si>
  <si>
    <t>Vishnu</t>
  </si>
  <si>
    <t>Palakkad</t>
  </si>
  <si>
    <t>O1010</t>
  </si>
  <si>
    <t>Sara</t>
  </si>
  <si>
    <t>O1011</t>
  </si>
  <si>
    <t>Ajay</t>
  </si>
  <si>
    <t>O1012</t>
  </si>
  <si>
    <t>Diya</t>
  </si>
  <si>
    <t>Category</t>
  </si>
  <si>
    <t>Supplier</t>
  </si>
  <si>
    <t>Grocery</t>
  </si>
  <si>
    <t>ABC Foods</t>
  </si>
  <si>
    <t>Kerala Traders</t>
  </si>
  <si>
    <t>Fresh Oils</t>
  </si>
  <si>
    <t xml:space="preserve"> Anu </t>
  </si>
  <si>
    <t>O2001</t>
  </si>
  <si>
    <t xml:space="preserve">Kozhikode </t>
  </si>
  <si>
    <t>O2002</t>
  </si>
  <si>
    <t>FATHIMA</t>
  </si>
  <si>
    <t>rice</t>
  </si>
  <si>
    <t>O2003</t>
  </si>
  <si>
    <t>arun</t>
  </si>
  <si>
    <t>OIL</t>
  </si>
  <si>
    <t>O2004</t>
  </si>
  <si>
    <t xml:space="preserve"> Meera</t>
  </si>
  <si>
    <t>KOLLAM</t>
  </si>
  <si>
    <t>Large order amount</t>
  </si>
  <si>
    <t>Avg order value</t>
  </si>
  <si>
    <t>Total quantity</t>
  </si>
  <si>
    <t>Total orders</t>
  </si>
  <si>
    <t>total sales</t>
  </si>
  <si>
    <t>lower order amount</t>
  </si>
  <si>
    <t>North total sales</t>
  </si>
  <si>
    <t>South total sales</t>
  </si>
  <si>
    <t>Tatal sale of rice</t>
  </si>
  <si>
    <t>Total UPI count</t>
  </si>
  <si>
    <t>Total card count</t>
  </si>
  <si>
    <t>North +UPI count</t>
  </si>
  <si>
    <t>Central+Rice count</t>
  </si>
  <si>
    <t>highest total sales</t>
  </si>
  <si>
    <t xml:space="preserve">North </t>
  </si>
  <si>
    <t xml:space="preserve">South </t>
  </si>
  <si>
    <t xml:space="preserve">centra </t>
  </si>
  <si>
    <t>sugar</t>
  </si>
  <si>
    <t>oil</t>
  </si>
  <si>
    <t>highest sell pdct</t>
  </si>
  <si>
    <t>Kozhicode</t>
  </si>
  <si>
    <t>Eranakulam</t>
  </si>
  <si>
    <t>Trissure</t>
  </si>
  <si>
    <t>kannur</t>
  </si>
  <si>
    <t>Highest quantity district</t>
  </si>
  <si>
    <t>High Value Order</t>
  </si>
  <si>
    <t>Medium value order</t>
  </si>
  <si>
    <t>Lowest value Order</t>
  </si>
  <si>
    <t xml:space="preserve"> RINSHA</t>
  </si>
  <si>
    <t>FATHIMA  RINSHA</t>
  </si>
  <si>
    <t>SANA     V</t>
  </si>
  <si>
    <t>ARSHIDA SHERIN</t>
  </si>
  <si>
    <t>AYISHA  ZAHRIN</t>
  </si>
  <si>
    <t>ID</t>
  </si>
  <si>
    <t>NAME</t>
  </si>
  <si>
    <t>AGE</t>
  </si>
  <si>
    <t>RINSHA</t>
  </si>
  <si>
    <t>MUFEEDA</t>
  </si>
  <si>
    <t>HUSNA</t>
  </si>
  <si>
    <t>HINDI</t>
  </si>
  <si>
    <t>ENGLISH</t>
  </si>
  <si>
    <t>MALAYALAM</t>
  </si>
  <si>
    <t>ANU</t>
  </si>
  <si>
    <t>RINU</t>
  </si>
  <si>
    <t>LULU</t>
  </si>
  <si>
    <t>RILU</t>
  </si>
  <si>
    <t>MOLU</t>
  </si>
  <si>
    <t>AB</t>
  </si>
  <si>
    <t>REGOIN</t>
  </si>
  <si>
    <t>Total amnt</t>
  </si>
  <si>
    <t>payments</t>
  </si>
  <si>
    <t>totan amnt</t>
  </si>
  <si>
    <t>most used payment methd</t>
  </si>
  <si>
    <t>products</t>
  </si>
  <si>
    <t>total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</si>
</sst>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2" xfId="0" applyFont="1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0" xfId="0" applyAlignment="1">
      <alignment horizontal="center"/>
    </xf>
    <xf numFmtId="0" fontId="0" fillId="18" borderId="0" xfId="0" applyFill="1"/>
    <xf numFmtId="0" fontId="0" fillId="19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zoomScale="78" zoomScaleNormal="78" workbookViewId="0">
      <selection activeCell="J17" sqref="J17:K17"/>
    </sheetView>
  </sheetViews>
  <sheetFormatPr defaultRowHeight="15" x14ac:dyDescent="0.25"/>
  <cols>
    <col min="2" max="2" width="22.7109375" customWidth="1"/>
    <col min="4" max="4" width="18.85546875" customWidth="1"/>
    <col min="8" max="8" width="9.7109375" customWidth="1"/>
    <col min="10" max="10" width="14.85546875" customWidth="1"/>
    <col min="12" max="12" width="5.5703125" customWidth="1"/>
    <col min="13" max="13" width="17.5703125" customWidth="1"/>
    <col min="14" max="14" width="9.140625" customWidth="1"/>
    <col min="15" max="15" width="4" customWidth="1"/>
    <col min="16" max="16" width="20.7109375" customWidth="1"/>
    <col min="17" max="17" width="17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6" t="s">
        <v>77</v>
      </c>
      <c r="N1">
        <f>SUM(K2:K13)</f>
        <v>9260</v>
      </c>
      <c r="P1" s="7" t="s">
        <v>86</v>
      </c>
      <c r="Q1" s="19" t="str">
        <f>_xlfn.XLOOKUP(MAX(H18:H20),H18:H20,G18:G20)</f>
        <v xml:space="preserve">North </v>
      </c>
    </row>
    <row r="2" spans="1:17" x14ac:dyDescent="0.25">
      <c r="A2" t="s">
        <v>11</v>
      </c>
      <c r="B2" s="2">
        <v>46023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</v>
      </c>
      <c r="I2">
        <v>60</v>
      </c>
      <c r="J2" t="s">
        <v>17</v>
      </c>
      <c r="K2">
        <v>300</v>
      </c>
      <c r="M2" s="3" t="s">
        <v>76</v>
      </c>
      <c r="N2">
        <f>COUNT(K2:K13)</f>
        <v>12</v>
      </c>
      <c r="P2" s="9" t="s">
        <v>92</v>
      </c>
      <c r="Q2" s="19" t="str">
        <f ca="1">_xlfn.XLOOKUP(MAX(K18:K20),K18:K20,J18:J20)</f>
        <v>Rice</v>
      </c>
    </row>
    <row r="3" spans="1:17" x14ac:dyDescent="0.25">
      <c r="A3" t="s">
        <v>18</v>
      </c>
      <c r="B3" s="2">
        <v>46025</v>
      </c>
      <c r="C3" t="s">
        <v>19</v>
      </c>
      <c r="D3" t="s">
        <v>20</v>
      </c>
      <c r="E3" t="s">
        <v>14</v>
      </c>
      <c r="F3" t="s">
        <v>21</v>
      </c>
      <c r="G3" t="s">
        <v>16</v>
      </c>
      <c r="H3">
        <v>10</v>
      </c>
      <c r="I3">
        <v>50</v>
      </c>
      <c r="J3" t="s">
        <v>22</v>
      </c>
      <c r="K3">
        <v>500</v>
      </c>
      <c r="M3" s="4" t="s">
        <v>75</v>
      </c>
      <c r="N3">
        <f>SUM(H2:H13)</f>
        <v>69</v>
      </c>
      <c r="P3" s="20" t="s">
        <v>125</v>
      </c>
      <c r="Q3" s="19" t="str">
        <f>_xlfn.XLOOKUP(MAX(H23:H25),H23:H25,G23:G25)</f>
        <v>UPI</v>
      </c>
    </row>
    <row r="4" spans="1:17" x14ac:dyDescent="0.25">
      <c r="A4" t="s">
        <v>23</v>
      </c>
      <c r="B4" s="2">
        <v>46027</v>
      </c>
      <c r="C4" t="s">
        <v>24</v>
      </c>
      <c r="D4" t="s">
        <v>25</v>
      </c>
      <c r="E4" t="s">
        <v>26</v>
      </c>
      <c r="F4" t="s">
        <v>15</v>
      </c>
      <c r="G4" t="s">
        <v>27</v>
      </c>
      <c r="H4">
        <v>3</v>
      </c>
      <c r="I4">
        <v>280</v>
      </c>
      <c r="J4" t="s">
        <v>28</v>
      </c>
      <c r="K4">
        <v>840</v>
      </c>
      <c r="M4" s="5" t="s">
        <v>74</v>
      </c>
      <c r="N4">
        <f>AVERAGE(K2:K13)</f>
        <v>771.66666666666663</v>
      </c>
      <c r="P4" s="17" t="s">
        <v>97</v>
      </c>
      <c r="Q4" s="19" t="str">
        <f ca="1">_xlfn.XLOOKUP(MAX(E18:E25),E18:E25,D18:D25)</f>
        <v>Eranakulam</v>
      </c>
    </row>
    <row r="5" spans="1:17" x14ac:dyDescent="0.25">
      <c r="A5" t="s">
        <v>29</v>
      </c>
      <c r="B5" s="2">
        <v>46030</v>
      </c>
      <c r="C5" t="s">
        <v>30</v>
      </c>
      <c r="D5" t="s">
        <v>31</v>
      </c>
      <c r="E5" t="s">
        <v>26</v>
      </c>
      <c r="F5" t="s">
        <v>32</v>
      </c>
      <c r="G5" t="s">
        <v>33</v>
      </c>
      <c r="H5">
        <v>4</v>
      </c>
      <c r="I5">
        <v>150</v>
      </c>
      <c r="J5" t="s">
        <v>17</v>
      </c>
      <c r="K5">
        <v>600</v>
      </c>
      <c r="M5" s="7" t="s">
        <v>73</v>
      </c>
      <c r="N5">
        <f>MAX(K2:K13)</f>
        <v>1680</v>
      </c>
      <c r="P5" s="18" t="s">
        <v>98</v>
      </c>
      <c r="Q5" s="19">
        <f>MAX(K2:K13)</f>
        <v>1680</v>
      </c>
    </row>
    <row r="6" spans="1:17" x14ac:dyDescent="0.25">
      <c r="A6" t="s">
        <v>34</v>
      </c>
      <c r="B6" s="2">
        <v>46032</v>
      </c>
      <c r="C6" t="s">
        <v>35</v>
      </c>
      <c r="D6" t="s">
        <v>36</v>
      </c>
      <c r="E6" t="s">
        <v>37</v>
      </c>
      <c r="F6" t="s">
        <v>21</v>
      </c>
      <c r="G6" t="s">
        <v>27</v>
      </c>
      <c r="H6">
        <v>2</v>
      </c>
      <c r="I6">
        <v>240</v>
      </c>
      <c r="J6" t="s">
        <v>22</v>
      </c>
      <c r="K6">
        <v>480</v>
      </c>
      <c r="M6" s="8" t="s">
        <v>78</v>
      </c>
      <c r="N6">
        <f>MIN(K2:K13)</f>
        <v>300</v>
      </c>
      <c r="P6" s="11" t="s">
        <v>99</v>
      </c>
      <c r="Q6" s="19">
        <f>MEDIAN(K2:K13)</f>
        <v>720</v>
      </c>
    </row>
    <row r="7" spans="1:17" x14ac:dyDescent="0.25">
      <c r="A7" t="s">
        <v>38</v>
      </c>
      <c r="B7" s="2">
        <v>46034</v>
      </c>
      <c r="C7" t="s">
        <v>39</v>
      </c>
      <c r="D7" t="s">
        <v>40</v>
      </c>
      <c r="E7" t="s">
        <v>37</v>
      </c>
      <c r="F7" t="s">
        <v>15</v>
      </c>
      <c r="G7" t="s">
        <v>27</v>
      </c>
      <c r="H7">
        <v>6</v>
      </c>
      <c r="I7">
        <v>280</v>
      </c>
      <c r="J7" t="s">
        <v>17</v>
      </c>
      <c r="K7">
        <v>1680</v>
      </c>
      <c r="M7" s="9" t="s">
        <v>79</v>
      </c>
      <c r="N7">
        <f>SUMIF(E2:E13,E2,K2:K13)</f>
        <v>3840</v>
      </c>
      <c r="P7" s="7" t="s">
        <v>100</v>
      </c>
      <c r="Q7" s="19">
        <f>MIN(K2:K13)</f>
        <v>300</v>
      </c>
    </row>
    <row r="8" spans="1:17" x14ac:dyDescent="0.25">
      <c r="A8" t="s">
        <v>41</v>
      </c>
      <c r="B8" s="2">
        <v>46037</v>
      </c>
      <c r="C8" t="s">
        <v>42</v>
      </c>
      <c r="D8" t="s">
        <v>43</v>
      </c>
      <c r="E8" t="s">
        <v>14</v>
      </c>
      <c r="F8" t="s">
        <v>32</v>
      </c>
      <c r="G8" t="s">
        <v>33</v>
      </c>
      <c r="H8">
        <v>8</v>
      </c>
      <c r="I8">
        <v>150</v>
      </c>
      <c r="J8" t="s">
        <v>28</v>
      </c>
      <c r="K8">
        <v>1200</v>
      </c>
      <c r="M8" s="10" t="s">
        <v>80</v>
      </c>
      <c r="N8">
        <f>SUMIF(E2:E13,E6,K2:K13)</f>
        <v>2910</v>
      </c>
    </row>
    <row r="9" spans="1:17" x14ac:dyDescent="0.25">
      <c r="A9" t="s">
        <v>44</v>
      </c>
      <c r="B9" s="2">
        <v>46040</v>
      </c>
      <c r="C9" t="s">
        <v>45</v>
      </c>
      <c r="D9" t="s">
        <v>25</v>
      </c>
      <c r="E9" t="s">
        <v>26</v>
      </c>
      <c r="F9" t="s">
        <v>15</v>
      </c>
      <c r="G9" t="s">
        <v>16</v>
      </c>
      <c r="H9">
        <v>12</v>
      </c>
      <c r="I9">
        <v>60</v>
      </c>
      <c r="J9" t="s">
        <v>17</v>
      </c>
      <c r="K9">
        <v>720</v>
      </c>
      <c r="M9" s="11" t="s">
        <v>81</v>
      </c>
      <c r="N9">
        <f>SUMIF(F2:F13,F2,K2:K13)</f>
        <v>4660</v>
      </c>
    </row>
    <row r="10" spans="1:17" x14ac:dyDescent="0.25">
      <c r="A10" t="s">
        <v>46</v>
      </c>
      <c r="B10" s="2">
        <v>46042</v>
      </c>
      <c r="C10" t="s">
        <v>47</v>
      </c>
      <c r="D10" t="s">
        <v>48</v>
      </c>
      <c r="E10" t="s">
        <v>26</v>
      </c>
      <c r="F10" t="s">
        <v>21</v>
      </c>
      <c r="G10" t="s">
        <v>16</v>
      </c>
      <c r="H10">
        <v>7</v>
      </c>
      <c r="I10">
        <v>50</v>
      </c>
      <c r="J10" t="s">
        <v>22</v>
      </c>
      <c r="K10">
        <v>350</v>
      </c>
      <c r="M10" s="12" t="s">
        <v>82</v>
      </c>
      <c r="N10">
        <f>SUMIF(J2:J13,J2,K2:K13)</f>
        <v>4420</v>
      </c>
    </row>
    <row r="11" spans="1:17" x14ac:dyDescent="0.25">
      <c r="A11" t="s">
        <v>49</v>
      </c>
      <c r="B11" s="2">
        <v>46044</v>
      </c>
      <c r="C11" t="s">
        <v>50</v>
      </c>
      <c r="D11" t="s">
        <v>36</v>
      </c>
      <c r="E11" t="s">
        <v>37</v>
      </c>
      <c r="F11" t="s">
        <v>32</v>
      </c>
      <c r="G11" t="s">
        <v>33</v>
      </c>
      <c r="H11">
        <v>5</v>
      </c>
      <c r="I11">
        <v>150</v>
      </c>
      <c r="J11" t="s">
        <v>28</v>
      </c>
      <c r="K11">
        <v>750</v>
      </c>
      <c r="M11" s="13" t="s">
        <v>83</v>
      </c>
      <c r="N11">
        <f>SUMIF(J2:J13,J8,K2:K13)</f>
        <v>3510</v>
      </c>
    </row>
    <row r="12" spans="1:17" x14ac:dyDescent="0.25">
      <c r="A12" t="s">
        <v>51</v>
      </c>
      <c r="B12" s="2">
        <v>46047</v>
      </c>
      <c r="C12" t="s">
        <v>52</v>
      </c>
      <c r="D12" t="s">
        <v>13</v>
      </c>
      <c r="E12" t="s">
        <v>14</v>
      </c>
      <c r="F12" t="s">
        <v>15</v>
      </c>
      <c r="G12" t="s">
        <v>27</v>
      </c>
      <c r="H12">
        <v>4</v>
      </c>
      <c r="I12">
        <v>280</v>
      </c>
      <c r="J12" t="s">
        <v>17</v>
      </c>
      <c r="K12">
        <v>1120</v>
      </c>
      <c r="M12" s="14" t="s">
        <v>84</v>
      </c>
      <c r="N12">
        <f>COUNTIFS(E2:E13,E2,J2:J13,J2)</f>
        <v>2</v>
      </c>
    </row>
    <row r="13" spans="1:17" x14ac:dyDescent="0.25">
      <c r="A13" t="s">
        <v>53</v>
      </c>
      <c r="B13" s="2">
        <v>46050</v>
      </c>
      <c r="C13" t="s">
        <v>54</v>
      </c>
      <c r="D13" t="s">
        <v>20</v>
      </c>
      <c r="E13" t="s">
        <v>14</v>
      </c>
      <c r="F13" t="s">
        <v>21</v>
      </c>
      <c r="G13" t="s">
        <v>27</v>
      </c>
      <c r="H13">
        <v>3</v>
      </c>
      <c r="I13">
        <v>240</v>
      </c>
      <c r="J13" t="s">
        <v>28</v>
      </c>
      <c r="K13">
        <v>720</v>
      </c>
      <c r="M13" s="15" t="s">
        <v>85</v>
      </c>
      <c r="N13">
        <f>SUMIFS(K2:K13,E2:E13,E4,F2:F13,F4)</f>
        <v>1560</v>
      </c>
    </row>
    <row r="17" spans="4:11" x14ac:dyDescent="0.25">
      <c r="D17" s="17" t="s">
        <v>3</v>
      </c>
      <c r="E17" s="17" t="s">
        <v>7</v>
      </c>
      <c r="G17" s="21" t="s">
        <v>121</v>
      </c>
      <c r="H17" s="21" t="s">
        <v>122</v>
      </c>
      <c r="J17" s="21" t="s">
        <v>126</v>
      </c>
      <c r="K17" s="21" t="s">
        <v>127</v>
      </c>
    </row>
    <row r="18" spans="4:11" x14ac:dyDescent="0.25">
      <c r="D18" t="s">
        <v>13</v>
      </c>
      <c r="E18">
        <f>SUMIF(D2:D13,D2,H2:H13)</f>
        <v>9</v>
      </c>
      <c r="G18" s="9" t="s">
        <v>87</v>
      </c>
      <c r="H18">
        <v>3840</v>
      </c>
      <c r="J18" s="16" t="s">
        <v>15</v>
      </c>
      <c r="K18">
        <f ca="1">SUMIF(F2:F13,F2,K2:K12)</f>
        <v>4660</v>
      </c>
    </row>
    <row r="19" spans="4:11" x14ac:dyDescent="0.25">
      <c r="D19" t="s">
        <v>93</v>
      </c>
      <c r="E19">
        <f>SUMIF(D3:D14,D3,H3:H14)</f>
        <v>13</v>
      </c>
      <c r="G19" s="10" t="s">
        <v>88</v>
      </c>
      <c r="H19">
        <v>2610</v>
      </c>
      <c r="J19" s="8" t="s">
        <v>90</v>
      </c>
      <c r="K19">
        <f>SUMIF(F2:F12,F3,K2:K13)</f>
        <v>1330</v>
      </c>
    </row>
    <row r="20" spans="4:11" x14ac:dyDescent="0.25">
      <c r="D20" t="s">
        <v>94</v>
      </c>
      <c r="E20">
        <f>SUMIF(D4:D15,D4,H4:H15)</f>
        <v>15</v>
      </c>
      <c r="G20" s="9" t="s">
        <v>89</v>
      </c>
      <c r="H20">
        <f>SUMIF(E2:E13,E4,K2:K13)</f>
        <v>2510</v>
      </c>
      <c r="J20" s="16" t="s">
        <v>91</v>
      </c>
      <c r="K20">
        <f>SUMIF(F2:F13,F8,K2:K13)</f>
        <v>2550</v>
      </c>
    </row>
    <row r="21" spans="4:11" x14ac:dyDescent="0.25">
      <c r="D21" t="s">
        <v>95</v>
      </c>
      <c r="E21">
        <f>SUMIF(D5:D16,D5,H5:H16)</f>
        <v>4</v>
      </c>
    </row>
    <row r="22" spans="4:11" x14ac:dyDescent="0.25">
      <c r="D22" t="s">
        <v>36</v>
      </c>
      <c r="E22">
        <f>SUMIF(D6:D16,D6,H6:H17)</f>
        <v>7</v>
      </c>
      <c r="G22" s="21" t="s">
        <v>123</v>
      </c>
      <c r="H22" s="21" t="s">
        <v>124</v>
      </c>
    </row>
    <row r="23" spans="4:11" x14ac:dyDescent="0.25">
      <c r="D23" t="s">
        <v>40</v>
      </c>
      <c r="E23">
        <f>SUMIF(D7:D17,D7,H7:H17)</f>
        <v>6</v>
      </c>
      <c r="G23" s="3" t="s">
        <v>17</v>
      </c>
      <c r="H23">
        <f>SUMIF(J2:J13,J2,K2:K13)</f>
        <v>4420</v>
      </c>
    </row>
    <row r="24" spans="4:11" x14ac:dyDescent="0.25">
      <c r="D24" t="s">
        <v>96</v>
      </c>
      <c r="E24">
        <f ca="1">SUMIF(D8:D18,D8,H8:H17)</f>
        <v>8</v>
      </c>
      <c r="G24" s="3" t="s">
        <v>22</v>
      </c>
      <c r="H24">
        <f>SUMIF(J2:J13,J3,K2:K13)</f>
        <v>1330</v>
      </c>
    </row>
    <row r="25" spans="4:11" x14ac:dyDescent="0.25">
      <c r="D25" t="s">
        <v>48</v>
      </c>
      <c r="E25">
        <f>SUMIF(D9:D19,D9,H9:H20)</f>
        <v>12</v>
      </c>
      <c r="G25" s="3" t="s">
        <v>28</v>
      </c>
      <c r="H25">
        <f>SUMIF(J2:J13,J4,K2:K13)</f>
        <v>3510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86C3-A96A-4272-810E-8981FE2981AF}">
  <dimension ref="A1:F5"/>
  <sheetViews>
    <sheetView workbookViewId="0">
      <selection activeCell="A7" sqref="A7"/>
    </sheetView>
  </sheetViews>
  <sheetFormatPr defaultRowHeight="15" x14ac:dyDescent="0.25"/>
  <cols>
    <col min="1" max="1" width="19.85546875" customWidth="1"/>
    <col min="2" max="2" width="20.5703125" customWidth="1"/>
    <col min="3" max="3" width="17.28515625" customWidth="1"/>
  </cols>
  <sheetData>
    <row r="1" spans="1:6" x14ac:dyDescent="0.25">
      <c r="A1" t="s">
        <v>101</v>
      </c>
      <c r="B1" t="str" cm="1">
        <f t="array" ref="B1:B5">TRIM(A1:A5)</f>
        <v>RINSHA</v>
      </c>
    </row>
    <row r="2" spans="1:6" x14ac:dyDescent="0.25">
      <c r="A2" t="s">
        <v>102</v>
      </c>
      <c r="B2" t="str">
        <v>FATHIMA RINSHA</v>
      </c>
      <c r="D2" s="9" t="s">
        <v>106</v>
      </c>
      <c r="E2" s="9" t="s">
        <v>107</v>
      </c>
      <c r="F2" s="9" t="s">
        <v>108</v>
      </c>
    </row>
    <row r="3" spans="1:6" x14ac:dyDescent="0.25">
      <c r="A3" t="s">
        <v>103</v>
      </c>
      <c r="B3" t="str">
        <v>SANA V</v>
      </c>
      <c r="D3">
        <v>101</v>
      </c>
      <c r="E3" t="s">
        <v>109</v>
      </c>
      <c r="F3">
        <v>21</v>
      </c>
    </row>
    <row r="4" spans="1:6" x14ac:dyDescent="0.25">
      <c r="A4" t="s">
        <v>104</v>
      </c>
      <c r="B4" t="str">
        <v>ARSHIDA SHERIN</v>
      </c>
      <c r="D4">
        <v>102</v>
      </c>
      <c r="E4" t="s">
        <v>110</v>
      </c>
      <c r="F4">
        <v>13</v>
      </c>
    </row>
    <row r="5" spans="1:6" x14ac:dyDescent="0.25">
      <c r="A5" t="s">
        <v>105</v>
      </c>
      <c r="B5" t="str">
        <v>AYISHA ZAHRIN</v>
      </c>
      <c r="D5">
        <v>103</v>
      </c>
      <c r="E5" t="s">
        <v>111</v>
      </c>
      <c r="F5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56A7-EDBB-495E-85EF-12577551A8F1}">
  <dimension ref="A1:I6"/>
  <sheetViews>
    <sheetView workbookViewId="0">
      <selection activeCell="J11" sqref="J11"/>
    </sheetView>
  </sheetViews>
  <sheetFormatPr defaultRowHeight="15" x14ac:dyDescent="0.25"/>
  <cols>
    <col min="4" max="4" width="12" customWidth="1"/>
    <col min="9" max="9" width="12" customWidth="1"/>
  </cols>
  <sheetData>
    <row r="1" spans="1:9" x14ac:dyDescent="0.25">
      <c r="A1" s="7" t="s">
        <v>107</v>
      </c>
      <c r="B1" s="7" t="s">
        <v>112</v>
      </c>
      <c r="C1" s="7" t="s">
        <v>113</v>
      </c>
      <c r="D1" s="7" t="s">
        <v>114</v>
      </c>
      <c r="F1" s="7" t="s">
        <v>107</v>
      </c>
      <c r="G1" s="7" t="s">
        <v>112</v>
      </c>
      <c r="H1" s="7" t="s">
        <v>113</v>
      </c>
      <c r="I1" s="7" t="s">
        <v>114</v>
      </c>
    </row>
    <row r="2" spans="1:9" x14ac:dyDescent="0.25">
      <c r="A2" t="s">
        <v>115</v>
      </c>
      <c r="B2" s="19">
        <v>25</v>
      </c>
      <c r="C2" s="19" t="s">
        <v>120</v>
      </c>
      <c r="D2" s="19">
        <v>19</v>
      </c>
      <c r="F2" t="s">
        <v>115</v>
      </c>
      <c r="G2" s="19">
        <v>25</v>
      </c>
      <c r="H2" s="19">
        <v>26</v>
      </c>
      <c r="I2" s="19">
        <v>19</v>
      </c>
    </row>
    <row r="3" spans="1:9" x14ac:dyDescent="0.25">
      <c r="A3" t="s">
        <v>116</v>
      </c>
      <c r="B3" s="19" t="s">
        <v>120</v>
      </c>
      <c r="C3" s="19">
        <v>18</v>
      </c>
      <c r="D3" s="19">
        <v>34</v>
      </c>
      <c r="F3" t="s">
        <v>116</v>
      </c>
      <c r="G3" s="19">
        <v>33</v>
      </c>
      <c r="H3" s="19">
        <v>18</v>
      </c>
      <c r="I3" s="19">
        <v>34</v>
      </c>
    </row>
    <row r="4" spans="1:9" x14ac:dyDescent="0.25">
      <c r="A4" t="s">
        <v>117</v>
      </c>
      <c r="B4" s="19">
        <v>13</v>
      </c>
      <c r="C4" s="19" t="s">
        <v>120</v>
      </c>
      <c r="D4" s="19">
        <v>44</v>
      </c>
      <c r="F4" t="s">
        <v>117</v>
      </c>
      <c r="G4" s="19">
        <v>13</v>
      </c>
      <c r="H4" s="19">
        <v>34</v>
      </c>
      <c r="I4" s="19">
        <v>44</v>
      </c>
    </row>
    <row r="5" spans="1:9" x14ac:dyDescent="0.25">
      <c r="A5" t="s">
        <v>118</v>
      </c>
      <c r="B5" s="19">
        <v>12</v>
      </c>
      <c r="C5" s="19" t="s">
        <v>120</v>
      </c>
      <c r="D5" s="19">
        <v>15</v>
      </c>
      <c r="F5" t="s">
        <v>118</v>
      </c>
      <c r="G5" s="19">
        <v>12</v>
      </c>
      <c r="H5" s="19">
        <v>22</v>
      </c>
      <c r="I5" s="19">
        <v>15</v>
      </c>
    </row>
    <row r="6" spans="1:9" x14ac:dyDescent="0.25">
      <c r="A6" t="s">
        <v>119</v>
      </c>
      <c r="B6" s="19">
        <v>16</v>
      </c>
      <c r="C6" s="19">
        <v>26</v>
      </c>
      <c r="D6" s="19" t="s">
        <v>120</v>
      </c>
      <c r="F6" t="s">
        <v>119</v>
      </c>
      <c r="G6" s="19">
        <v>16</v>
      </c>
      <c r="H6" s="19">
        <v>26</v>
      </c>
      <c r="I6" s="19">
        <v>28</v>
      </c>
    </row>
  </sheetData>
  <conditionalFormatting sqref="F1:I6">
    <cfRule type="cellIs" dxfId="0" priority="1" operator="lessThan">
      <formula>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F23" sqref="F23"/>
    </sheetView>
  </sheetViews>
  <sheetFormatPr defaultRowHeight="15" x14ac:dyDescent="0.25"/>
  <cols>
    <col min="3" max="3" width="14.42578125" customWidth="1"/>
  </cols>
  <sheetData>
    <row r="1" spans="1:3" x14ac:dyDescent="0.25">
      <c r="A1" s="1" t="s">
        <v>5</v>
      </c>
      <c r="B1" s="1" t="s">
        <v>55</v>
      </c>
      <c r="C1" s="1" t="s">
        <v>56</v>
      </c>
    </row>
    <row r="2" spans="1:3" x14ac:dyDescent="0.25">
      <c r="A2" t="s">
        <v>15</v>
      </c>
      <c r="B2" t="s">
        <v>57</v>
      </c>
      <c r="C2" t="s">
        <v>58</v>
      </c>
    </row>
    <row r="3" spans="1:3" x14ac:dyDescent="0.25">
      <c r="A3" t="s">
        <v>21</v>
      </c>
      <c r="B3" t="s">
        <v>57</v>
      </c>
      <c r="C3" t="s">
        <v>59</v>
      </c>
    </row>
    <row r="4" spans="1:3" x14ac:dyDescent="0.25">
      <c r="A4" t="s">
        <v>32</v>
      </c>
      <c r="B4" t="s">
        <v>57</v>
      </c>
      <c r="C4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/>
  </sheetViews>
  <sheetFormatPr defaultRowHeight="15" x14ac:dyDescent="0.25"/>
  <sheetData>
    <row r="1" spans="1:4" x14ac:dyDescent="0.25">
      <c r="A1" s="1" t="s">
        <v>2</v>
      </c>
      <c r="B1" s="1" t="s">
        <v>3</v>
      </c>
      <c r="C1" s="1" t="s">
        <v>5</v>
      </c>
      <c r="D1" s="1" t="s">
        <v>0</v>
      </c>
    </row>
    <row r="2" spans="1:4" x14ac:dyDescent="0.25">
      <c r="A2" t="s">
        <v>61</v>
      </c>
      <c r="B2" t="s">
        <v>13</v>
      </c>
      <c r="C2" t="s">
        <v>15</v>
      </c>
      <c r="D2" t="s">
        <v>62</v>
      </c>
    </row>
    <row r="3" spans="1:4" x14ac:dyDescent="0.25">
      <c r="A3" t="s">
        <v>19</v>
      </c>
      <c r="B3" t="s">
        <v>63</v>
      </c>
      <c r="C3" t="s">
        <v>21</v>
      </c>
      <c r="D3" t="s">
        <v>64</v>
      </c>
    </row>
    <row r="4" spans="1:4" x14ac:dyDescent="0.25">
      <c r="A4" t="s">
        <v>65</v>
      </c>
      <c r="B4" t="s">
        <v>25</v>
      </c>
      <c r="C4" t="s">
        <v>66</v>
      </c>
      <c r="D4" t="s">
        <v>67</v>
      </c>
    </row>
    <row r="5" spans="1:4" x14ac:dyDescent="0.25">
      <c r="A5" t="s">
        <v>68</v>
      </c>
      <c r="B5" t="s">
        <v>31</v>
      </c>
      <c r="C5" t="s">
        <v>69</v>
      </c>
      <c r="D5" t="s">
        <v>70</v>
      </c>
    </row>
    <row r="6" spans="1:4" x14ac:dyDescent="0.25">
      <c r="A6" t="s">
        <v>71</v>
      </c>
      <c r="B6" t="s">
        <v>72</v>
      </c>
      <c r="C6" t="s">
        <v>21</v>
      </c>
      <c r="D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Sheet1</vt:lpstr>
      <vt:lpstr>Sheet2</vt:lpstr>
      <vt:lpstr>Product_Master</vt:lpstr>
      <vt:lpstr>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Fujitsu</cp:lastModifiedBy>
  <dcterms:created xsi:type="dcterms:W3CDTF">2026-08-17T03:33:29Z</dcterms:created>
  <dcterms:modified xsi:type="dcterms:W3CDTF">2026-09-28T06:15:16Z</dcterms:modified>
</cp:coreProperties>
</file>